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uario\Desktop\APP Malato\docs\"/>
    </mc:Choice>
  </mc:AlternateContent>
  <xr:revisionPtr revIDLastSave="0" documentId="13_ncr:1_{C2EB4059-7A84-42DE-934B-2C24240F5842}" xr6:coauthVersionLast="47" xr6:coauthVersionMax="47" xr10:uidLastSave="{00000000-0000-0000-0000-000000000000}"/>
  <bookViews>
    <workbookView xWindow="-108" yWindow="-108" windowWidth="23256" windowHeight="12456" tabRatio="500" activeTab="1" xr2:uid="{00000000-000D-0000-FFFF-FFFF00000000}"/>
  </bookViews>
  <sheets>
    <sheet name="Cómo se hace" sheetId="1" r:id="rId1"/>
    <sheet name="Clasificar" sheetId="2" r:id="rId2"/>
    <sheet name="Qué es cada cosa" sheetId="3" r:id="rId3"/>
    <sheet name="Listas" sheetId="4" state="hidden" r:id="rId4"/>
    <sheet name="Resumen" sheetId="5" r:id="rId5"/>
  </sheets>
  <definedNames>
    <definedName name="_xlnm._FilterDatabase" localSheetId="1" hidden="1">Clasificar!$A$4:$G$97</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8" i="5" l="1"/>
  <c r="B8" i="5"/>
  <c r="D8" i="5" s="1"/>
  <c r="C7" i="5"/>
  <c r="B7" i="5"/>
  <c r="C6" i="5"/>
  <c r="B6" i="5"/>
  <c r="C5" i="5"/>
  <c r="B5" i="5"/>
  <c r="C4" i="5"/>
  <c r="B4" i="5"/>
  <c r="D5" i="5" l="1"/>
  <c r="D6" i="5"/>
  <c r="D4" i="5"/>
  <c r="D7" i="5"/>
</calcChain>
</file>

<file path=xl/sharedStrings.xml><?xml version="1.0" encoding="utf-8"?>
<sst xmlns="http://schemas.openxmlformats.org/spreadsheetml/2006/main" count="457" uniqueCount="192">
  <si>
    <t>CÓMO RELLENARLO</t>
  </si>
  <si>
    <t>1</t>
  </si>
  <si>
    <t>Abre la hoja «Clasificar». Hay 93 tareas, una por fila.</t>
  </si>
  <si>
    <t>2</t>
  </si>
  <si>
    <t>La columna TIPO tiene un desplegable: Rutina · Exclusiva del día · Urgente.</t>
  </si>
  <si>
    <t>3</t>
  </si>
  <si>
    <t>La columna ZONA tiene otro desplegable, por si quieres decir dónde se hace.</t>
  </si>
  <si>
    <t>4</t>
  </si>
  <si>
    <t>NOTAS es libre: para lo que no quepa en ninguna.</t>
  </si>
  <si>
    <t>5</t>
  </si>
  <si>
    <t>En «Resumen» se ve cuántas llevas y cuántas faltan.</t>
  </si>
  <si>
    <t>6</t>
  </si>
  <si>
    <t>Las filas están ordenadas poniendo primero las que tocan más días al día.</t>
  </si>
  <si>
    <t>No hay respuestas mías en ninguna parte: los desplegables están vacíos.</t>
  </si>
  <si>
    <t>Si una tarea no encaja en ninguno de los tres tipos, escríbelo en NOTAS y ya está.</t>
  </si>
  <si>
    <t>CLASIFICAR LAS TAREAS</t>
  </si>
  <si>
    <t>Rellena solo las columnas amarillas: TIPO, ZONA y NOTAS. Lo demás ya está puesto porque son los hechos de tus plantillas. No hay nada decidido por mí.</t>
  </si>
  <si>
    <t>Puesto</t>
  </si>
  <si>
    <t>Tarea</t>
  </si>
  <si>
    <t>Días que toca</t>
  </si>
  <si>
    <t>Cuántos días</t>
  </si>
  <si>
    <t>TIPO</t>
  </si>
  <si>
    <t>ZONA</t>
  </si>
  <si>
    <t>NOTAS</t>
  </si>
  <si>
    <t>Operarias</t>
  </si>
  <si>
    <t>Colocar Monta y tienda en general (frentear)</t>
  </si>
  <si>
    <t>dom · jue · lun · mar · mié · sáb · vie</t>
  </si>
  <si>
    <t>Fregar y Recoger Cocina (todo, utillaje incluído)</t>
  </si>
  <si>
    <t>Frentear baldas, reponer y rellenar con sobrantes</t>
  </si>
  <si>
    <t>Frentear y Reponer leche / Yogures / Fruta / Congelado</t>
  </si>
  <si>
    <t>Hacer bolsitas txutxes y torcidas</t>
  </si>
  <si>
    <t>Limpiar caja de cobro (delante/pantalla/detrás) con brocha</t>
  </si>
  <si>
    <t>Reponer bebidas frías (no pegar atrás) (2 cámaras)</t>
  </si>
  <si>
    <t>Reponer charcu y avisar si se vende carne</t>
  </si>
  <si>
    <t>Revisar charcu plásticos y puertas</t>
  </si>
  <si>
    <t>Revisar que esté TODA la fruta guardada</t>
  </si>
  <si>
    <t>Tirar cartones (hay que deshacerlos) y plásticos</t>
  </si>
  <si>
    <t>Vaciar Agua Cámara Fruta (las 2 bandejas) y colocar BIEN</t>
  </si>
  <si>
    <t>Apuntar Pan</t>
  </si>
  <si>
    <t>jue · lun · mar · mié · sáb · vie</t>
  </si>
  <si>
    <t>Arreglar fruta y verdura tocada y etiquetar de oferta</t>
  </si>
  <si>
    <t>Tirar basura si está llena</t>
  </si>
  <si>
    <t>dom · jue · lun · mar · mié · vie</t>
  </si>
  <si>
    <t>Reponer y colocar chuches  (cajones y cubetas)</t>
  </si>
  <si>
    <t>lun · mar · mié · sáb · vie</t>
  </si>
  <si>
    <t>Subir Monta</t>
  </si>
  <si>
    <t>Tickar todo lo que llega y comprobar que pase</t>
  </si>
  <si>
    <t>jue · lun · mar · mié · vie</t>
  </si>
  <si>
    <t>Al apagar luces comprobar congeladores y cámaras frío</t>
  </si>
  <si>
    <t>lun · mar · mié</t>
  </si>
  <si>
    <t>Reponer y colocar fruta</t>
  </si>
  <si>
    <t>dom · sáb · vie</t>
  </si>
  <si>
    <t>Abrir puerta lateral calle (puerta cerrada pero sin cerrojo)</t>
  </si>
  <si>
    <t>dom · jue</t>
  </si>
  <si>
    <t>Fregar Cámara Fruta</t>
  </si>
  <si>
    <t>Limpiar Charcu (puertas abajo, exposición, todos cristales)</t>
  </si>
  <si>
    <t>mar · sáb</t>
  </si>
  <si>
    <t>Poner cartones en las escaleras (felpudo)</t>
  </si>
  <si>
    <t>Reponer utillaje (1)</t>
  </si>
  <si>
    <t>mié · sáb</t>
  </si>
  <si>
    <t>Apuntar Pan y Periódicos</t>
  </si>
  <si>
    <t>dom</t>
  </si>
  <si>
    <t>Bandejas: charcu (gr/med/peq)</t>
  </si>
  <si>
    <t>Bolsas: fruta / charcu / bollería (gr/peq) / pan (gr/peq) / gominolas / compra (asas)</t>
  </si>
  <si>
    <t>Centrar agua (cajas de 1,5l y garrafas)</t>
  </si>
  <si>
    <t>mié</t>
  </si>
  <si>
    <t>Congelar Pollos / Congelar Salsa</t>
  </si>
  <si>
    <t>lun</t>
  </si>
  <si>
    <t>Contar Total Patatas Norm               /Total Bravas</t>
  </si>
  <si>
    <t>Contar Total Pollos                   /Total Codillos</t>
  </si>
  <si>
    <t>Envasar Pollos</t>
  </si>
  <si>
    <t>Hacer bandejas de bollería</t>
  </si>
  <si>
    <t>sáb</t>
  </si>
  <si>
    <t>Limpiar 2 cubetas congelado (alternar) o tarrinas</t>
  </si>
  <si>
    <t>Limpiar balda de yogures (alternar) + Por fuera entero</t>
  </si>
  <si>
    <t>jue</t>
  </si>
  <si>
    <t>Limpiar Baño</t>
  </si>
  <si>
    <t>Limpiar congeladores fuera (bordes, bajo cristal,…)</t>
  </si>
  <si>
    <t>Limpiar Cámara Pollos</t>
  </si>
  <si>
    <t>Limpiar Envasadora (con un paño y agua)</t>
  </si>
  <si>
    <t>Limpiar etiqueteros por zonas y apuntar cuáles</t>
  </si>
  <si>
    <t>mar</t>
  </si>
  <si>
    <t>Limpiar Fregonas</t>
  </si>
  <si>
    <t>Limpiar Horno de Pan</t>
  </si>
  <si>
    <t>Limpiar mesa charcu (mueble+suelo)</t>
  </si>
  <si>
    <t>Limpiar mueble bandejas pan / bajo cesto mimbre</t>
  </si>
  <si>
    <t>Limpiar mueble madera donde se ponen bandejas bollería</t>
  </si>
  <si>
    <t>Limpiar muebles pan Zuaza (mesa azul y donde periódicos)</t>
  </si>
  <si>
    <t>Limpiar suelo bajo mesa horno</t>
  </si>
  <si>
    <t>Limpiar suelos (bordes oscurecidos)</t>
  </si>
  <si>
    <t>Limpiar zona txutxes (izquierda de caja y frente de caja)</t>
  </si>
  <si>
    <t>Limpiar/Ordenar Zona Caja (caja,baldas blancas, TPV)</t>
  </si>
  <si>
    <t>Ordenar Galletas 1€ / Dulcesol</t>
  </si>
  <si>
    <t>Ordenar leche por fechas (cajas enteras y lineales)</t>
  </si>
  <si>
    <t>Papel: pan / charcu (gr/peq)</t>
  </si>
  <si>
    <t>Reponer y colocar paquetería snacks</t>
  </si>
  <si>
    <t>REVISAR TODO EL GÉNERO DEL EXPOSITOR DE VERDURA</t>
  </si>
  <si>
    <t>Coordinadoras</t>
  </si>
  <si>
    <t>Subir Panes Especiales</t>
  </si>
  <si>
    <t>Recepción de Mercancía: tickar (ud o peso) y guardar</t>
  </si>
  <si>
    <t>Sacar, reponer, colocar fruta y ARREGLAR si hiciera falta</t>
  </si>
  <si>
    <t>Organizar trabajo del día</t>
  </si>
  <si>
    <t>dom · jue · lun · sáb · vie</t>
  </si>
  <si>
    <t>Preparar Monta</t>
  </si>
  <si>
    <t>Reponer leche / Yogures / Fruta / Congelado</t>
  </si>
  <si>
    <t>Limpiar fregonas</t>
  </si>
  <si>
    <t>mar · mié · sáb · vie</t>
  </si>
  <si>
    <t>Quitar pelos de fregona de ruedas, carros, muebles, baldas,...</t>
  </si>
  <si>
    <t>dom · jue · sáb · vie</t>
  </si>
  <si>
    <t>Bajar Berly's / Cadagua</t>
  </si>
  <si>
    <t>lun · mié · vie</t>
  </si>
  <si>
    <t>Ordenar Lineal (Producto-Precio)</t>
  </si>
  <si>
    <t>Reponer Vending</t>
  </si>
  <si>
    <t>Reunión</t>
  </si>
  <si>
    <t>lun · sáb · vie</t>
  </si>
  <si>
    <t>Hacer sitio para los pedidos que llegan hoy</t>
  </si>
  <si>
    <t>mar · mié</t>
  </si>
  <si>
    <t>Ordenar cámara fruta</t>
  </si>
  <si>
    <t>Ordenar trastienda</t>
  </si>
  <si>
    <t>Precios nuevos</t>
  </si>
  <si>
    <t>lun · vie</t>
  </si>
  <si>
    <t>Recoger, limpiar y ordenar balda de fideos, gelina, …</t>
  </si>
  <si>
    <t>Sacar bollería grande y peque de Malato</t>
  </si>
  <si>
    <t>sáb · vie</t>
  </si>
  <si>
    <t>Subir Berly's / Cadagua</t>
  </si>
  <si>
    <t>jue · mar</t>
  </si>
  <si>
    <t>Cambiar plantillas semanales (tareasx2, revistas, pollos)</t>
  </si>
  <si>
    <t>Camión: Colocar mercancía y Precios nuevos</t>
  </si>
  <si>
    <t>Colocar Danone</t>
  </si>
  <si>
    <t>Guardar Fruta / Uvesa / Gonvador / Berly's / Frigo</t>
  </si>
  <si>
    <t>vie</t>
  </si>
  <si>
    <t>Hacer Pan y Bollería</t>
  </si>
  <si>
    <t>Limpiar pollos si hiciera falta</t>
  </si>
  <si>
    <t>Llega Donuts</t>
  </si>
  <si>
    <t>Ofertas Finde de Yogures</t>
  </si>
  <si>
    <t>Ordenar cestos</t>
  </si>
  <si>
    <t>Quitar / Poner Ofertas Coaliment</t>
  </si>
  <si>
    <t>Quitar revistas Pronto y apuntar devolución</t>
  </si>
  <si>
    <t>Sacar pollos y salsa</t>
  </si>
  <si>
    <t>Subir Berly's / Cadagua (lo que esté fuera de la cámara)</t>
  </si>
  <si>
    <t>Subir Berly's / Cadagua (lo que queda dentro de la cámara)</t>
  </si>
  <si>
    <t>Viene Matutano Preventa (sacar para que reponga él)</t>
  </si>
  <si>
    <t>Hacer pedidos y pasarlos</t>
  </si>
  <si>
    <t>según necesidad</t>
  </si>
  <si>
    <t>Llamar por teléfono</t>
  </si>
  <si>
    <t>LOS TRES TIPOS</t>
  </si>
  <si>
    <t>Tipo</t>
  </si>
  <si>
    <t>Qué significa</t>
  </si>
  <si>
    <t>Ejemplo de cómo se reconoce</t>
  </si>
  <si>
    <t>Rutina</t>
  </si>
  <si>
    <t>Se repite todos los días y hay que hacerla</t>
  </si>
  <si>
    <t>Se hace todos los días. Si un día no se hace, no pasa nada grave… hasta que pasan cinco y se nota.</t>
  </si>
  <si>
    <t>Exclusiva del día</t>
  </si>
  <si>
    <t>Solo toca ese día concreto, por sus condicionantes</t>
  </si>
  <si>
    <t>Solo tiene sentido ese día. Hacerla otro día es hacerla mal o no tocaba.</t>
  </si>
  <si>
    <t>Urgente</t>
  </si>
  <si>
    <t>Surge, y hay que hacerla ya</t>
  </si>
  <si>
    <t>No estaba prevista. Aparece y hay que resolverla, desplazando lo demás.</t>
  </si>
  <si>
    <t>OJO CON LA RUTINA: precisamente por ser rutina, se olvida. Las tareas marcadas como Rutina son las que la aplicación tendrá que poner DELANTE todos los días, sin que nadie tenga que acordarse de buscarlas.</t>
  </si>
  <si>
    <t>No hace falta rellenar las tres columnas de golpe. Se puede empezar por el TIPO, que es lo que más cambia la aplicación, y dejar ZONA y NOTAS para después.</t>
  </si>
  <si>
    <t>Zona</t>
  </si>
  <si>
    <t>Lineales</t>
  </si>
  <si>
    <t>Yogures</t>
  </si>
  <si>
    <t>Fruta</t>
  </si>
  <si>
    <t>Verdura</t>
  </si>
  <si>
    <t>Congelado</t>
  </si>
  <si>
    <t>Bebidas</t>
  </si>
  <si>
    <t>Cámaras frigoríficas</t>
  </si>
  <si>
    <t>Congeladores</t>
  </si>
  <si>
    <t>Cámara fruta</t>
  </si>
  <si>
    <t>Cámara pollos</t>
  </si>
  <si>
    <t>Charcutería</t>
  </si>
  <si>
    <t>Carne</t>
  </si>
  <si>
    <t>Pan y bollería</t>
  </si>
  <si>
    <t>Txutxes y paquetería</t>
  </si>
  <si>
    <t>Caja</t>
  </si>
  <si>
    <t>Cocina y asador</t>
  </si>
  <si>
    <t>Almacén y trastienda</t>
  </si>
  <si>
    <t>Baño</t>
  </si>
  <si>
    <t>Suelos y exteriores</t>
  </si>
  <si>
    <t>Toda la tienda</t>
  </si>
  <si>
    <t>Varias</t>
  </si>
  <si>
    <t>CÓMO VA LA CLASIFICACIÓN</t>
  </si>
  <si>
    <t>Total</t>
  </si>
  <si>
    <t>Sin clasificar</t>
  </si>
  <si>
    <t>TOTAL</t>
  </si>
  <si>
    <t>Cuando esté, mándamelo y lo meto en la aplicación. Las que se queden en «Sin clasificar» las dejo como están, sin decidir por ti.</t>
  </si>
  <si>
    <t>Esto hay que quitar</t>
  </si>
  <si>
    <t>La Zona sería Interior/Cocina</t>
  </si>
  <si>
    <t>Cada / es una zona diferente, así que se podría hacer de cada una</t>
  </si>
  <si>
    <t>Zona Almacén Superior</t>
  </si>
  <si>
    <t>Zona Cajas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</si>
</sst>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6"/>
      <color rgb="FFFFFFFF"/>
      <name val="Cambria"/>
      <charset val="1"/>
    </font>
    <font>
      <b/>
      <sz val="11"/>
      <color rgb="FF1E9A45"/>
      <name val="Cambria"/>
      <charset val="1"/>
    </font>
    <font>
      <i/>
      <sz val="10"/>
      <color rgb="FF5E6E63"/>
      <name val="Cambria"/>
      <charset val="1"/>
    </font>
    <font>
      <b/>
      <sz val="11"/>
      <color rgb="FFFFFFFF"/>
      <name val="Cambria"/>
      <charset val="1"/>
    </font>
    <font>
      <sz val="9"/>
      <color rgb="FF5E6E63"/>
      <name val="Cambria"/>
      <charset val="1"/>
    </font>
    <font>
      <b/>
      <sz val="11"/>
      <name val="Cambria"/>
      <charset val="1"/>
    </font>
    <font>
      <i/>
      <sz val="11"/>
      <color rgb="FF8A4B00"/>
      <name val="Cambria"/>
      <charset val="1"/>
    </font>
    <font>
      <sz val="10"/>
      <color rgb="FF5E6E63"/>
      <name val="Cambria"/>
      <charset val="1"/>
    </font>
    <font>
      <b/>
      <sz val="11"/>
      <color rgb="FFB3261E"/>
      <name val="Cambria"/>
      <charset val="1"/>
    </font>
  </fonts>
  <fills count="7">
    <fill>
      <patternFill patternType="none"/>
    </fill>
    <fill>
      <patternFill patternType="gray125"/>
    </fill>
    <fill>
      <patternFill patternType="solid">
        <fgColor rgb="FF2EC258"/>
        <bgColor rgb="FF1E9A45"/>
      </patternFill>
    </fill>
    <fill>
      <patternFill patternType="solid">
        <fgColor rgb="FF1E9A45"/>
        <bgColor rgb="FF008080"/>
      </patternFill>
    </fill>
    <fill>
      <patternFill patternType="solid">
        <fgColor rgb="FFD97706"/>
        <bgColor rgb="FFFF9900"/>
      </patternFill>
    </fill>
    <fill>
      <patternFill patternType="solid">
        <fgColor rgb="FFFFF8E6"/>
        <bgColor rgb="FFEFFAF2"/>
      </patternFill>
    </fill>
    <fill>
      <patternFill patternType="solid">
        <fgColor rgb="FFEFFAF2"/>
        <bgColor rgb="FFFFF8E6"/>
      </patternFill>
    </fill>
  </fills>
  <borders count="2">
    <border>
      <left/>
      <right/>
      <top/>
      <bottom/>
      <diagonal/>
    </border>
    <border>
      <left style="thin">
        <color rgb="FFD6EDDD"/>
      </left>
      <right style="thin">
        <color rgb="FFD6EDDD"/>
      </right>
      <top style="thin">
        <color rgb="FFD6EDDD"/>
      </top>
      <bottom style="thin">
        <color rgb="FFD6EDDD"/>
      </bottom>
      <diagonal/>
    </border>
  </borders>
  <cellStyleXfs count="1">
    <xf numFmtId="0" fontId="0" fillId="0" borderId="0"/>
  </cellStyleXfs>
  <cellXfs count="21">
    <xf numFmtId="0" fontId="0" fillId="0" borderId="0" xfId="0"/>
    <xf numFmtId="0" fontId="8" fillId="0" borderId="0" xfId="0" applyFont="1" applyAlignment="1">
      <alignment vertical="center" wrapText="1"/>
    </xf>
    <xf numFmtId="0" fontId="7" fillId="5" borderId="0" xfId="0" applyFont="1" applyFill="1" applyAlignment="1">
      <alignment vertical="center" wrapText="1"/>
    </xf>
    <xf numFmtId="0" fontId="3" fillId="0" borderId="0" xfId="0" applyFont="1" applyAlignment="1">
      <alignment vertical="center" wrapText="1"/>
    </xf>
    <xf numFmtId="0" fontId="1" fillId="2" borderId="0" xfId="0" applyFont="1" applyFill="1"/>
    <xf numFmtId="0" fontId="2" fillId="0" borderId="0" xfId="0" applyFont="1"/>
    <xf numFmtId="0" fontId="0" fillId="0" borderId="0" xfId="0" applyAlignment="1">
      <alignment vertical="center" wrapText="1"/>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0" fillId="0" borderId="1" xfId="0" applyBorder="1"/>
    <xf numFmtId="0" fontId="0" fillId="0" borderId="1" xfId="0" applyBorder="1" applyAlignment="1">
      <alignment vertical="center"/>
    </xf>
    <xf numFmtId="0" fontId="5" fillId="0" borderId="1" xfId="0" applyFont="1" applyBorder="1"/>
    <xf numFmtId="0" fontId="0" fillId="0" borderId="1" xfId="0" applyBorder="1" applyAlignment="1">
      <alignment horizontal="center"/>
    </xf>
    <xf numFmtId="0" fontId="0" fillId="5" borderId="1" xfId="0" applyFill="1" applyBorder="1"/>
    <xf numFmtId="0" fontId="4" fillId="3" borderId="1" xfId="0" applyFont="1" applyFill="1" applyBorder="1"/>
    <xf numFmtId="0" fontId="6" fillId="0" borderId="1" xfId="0" applyFont="1" applyBorder="1"/>
    <xf numFmtId="0" fontId="0" fillId="0" borderId="1" xfId="0" applyBorder="1" applyAlignment="1">
      <alignment vertical="top" wrapText="1"/>
    </xf>
    <xf numFmtId="0" fontId="9" fillId="0" borderId="1" xfId="0" applyFont="1" applyBorder="1"/>
    <xf numFmtId="0" fontId="6" fillId="6" borderId="1" xfId="0" applyFont="1" applyFill="1" applyBorder="1"/>
    <xf numFmtId="0" fontId="0" fillId="6" borderId="1" xfId="0" applyFill="1" applyBorder="1"/>
    <xf numFmtId="0" fontId="3" fillId="0" borderId="0" xfId="0" applyFont="1"/>
  </cellXfs>
  <cellStyles count="1">
    <cellStyle name="Normal" xfId="0" builtinId="0"/>
  </cellStyles>
  <dxfs count="3">
    <dxf>
      <font>
        <b/>
        <color rgb="FFB3261E"/>
      </font>
      <fill>
        <patternFill>
          <bgColor rgb="FFF7C9C9"/>
        </patternFill>
      </fill>
    </dxf>
    <dxf>
      <font>
        <b/>
        <color rgb="FF8A4B00"/>
      </font>
      <fill>
        <patternFill>
          <bgColor rgb="FFFDE7C8"/>
        </patternFill>
      </fill>
    </dxf>
    <dxf>
      <font>
        <b/>
        <color rgb="FF1E9A45"/>
      </font>
      <fill>
        <patternFill>
          <bgColor rgb="FFD6ED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8A4B00"/>
      <rgbColor rgb="FFFFF8E6"/>
      <rgbColor rgb="FFEFFA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6EDDD"/>
      <rgbColor rgb="FFFDE7C8"/>
      <rgbColor rgb="FF99CCFF"/>
      <rgbColor rgb="FFFF99CC"/>
      <rgbColor rgb="FFCC99FF"/>
      <rgbColor rgb="FFF7C9C9"/>
      <rgbColor rgb="FF3366FF"/>
      <rgbColor rgb="FF2EC258"/>
      <rgbColor rgb="FF99CC00"/>
      <rgbColor rgb="FFFFCC00"/>
      <rgbColor rgb="FFFF9900"/>
      <rgbColor rgb="FFD97706"/>
      <rgbColor rgb="FF5E6E63"/>
      <rgbColor rgb="FF969696"/>
      <rgbColor rgb="FF003366"/>
      <rgbColor rgb="FF1E9A45"/>
      <rgbColor rgb="FF003300"/>
      <rgbColor rgb="FF333300"/>
      <rgbColor rgb="FFB326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Normal="100" workbookViewId="0"/>
  </sheetViews>
  <sheetFormatPr baseColWidth="10" defaultColWidth="8.5546875" defaultRowHeight="14.4" x14ac:dyDescent="0.3"/>
  <cols>
    <col min="1" max="1" width="5" customWidth="1"/>
    <col min="2" max="2" width="96" customWidth="1"/>
  </cols>
  <sheetData>
    <row r="1" spans="1:2" ht="30" customHeight="1" x14ac:dyDescent="0.35">
      <c r="A1" s="4" t="s">
        <v>0</v>
      </c>
      <c r="B1" s="4"/>
    </row>
    <row r="3" spans="1:2" ht="21.75" customHeight="1" x14ac:dyDescent="0.3">
      <c r="A3" s="5" t="s">
        <v>1</v>
      </c>
      <c r="B3" s="6" t="s">
        <v>2</v>
      </c>
    </row>
    <row r="4" spans="1:2" ht="21.75" customHeight="1" x14ac:dyDescent="0.3">
      <c r="A4" s="5" t="s">
        <v>3</v>
      </c>
      <c r="B4" s="6" t="s">
        <v>4</v>
      </c>
    </row>
    <row r="5" spans="1:2" ht="21.75" customHeight="1" x14ac:dyDescent="0.3">
      <c r="A5" s="5" t="s">
        <v>5</v>
      </c>
      <c r="B5" s="6" t="s">
        <v>6</v>
      </c>
    </row>
    <row r="6" spans="1:2" ht="21.75" customHeight="1" x14ac:dyDescent="0.3">
      <c r="A6" s="5" t="s">
        <v>7</v>
      </c>
      <c r="B6" s="6" t="s">
        <v>8</v>
      </c>
    </row>
    <row r="7" spans="1:2" ht="21.75" customHeight="1" x14ac:dyDescent="0.3">
      <c r="A7" s="5" t="s">
        <v>9</v>
      </c>
      <c r="B7" s="6" t="s">
        <v>10</v>
      </c>
    </row>
    <row r="8" spans="1:2" ht="21.75" customHeight="1" x14ac:dyDescent="0.3">
      <c r="A8" s="5" t="s">
        <v>11</v>
      </c>
      <c r="B8" s="6" t="s">
        <v>12</v>
      </c>
    </row>
    <row r="9" spans="1:2" x14ac:dyDescent="0.3">
      <c r="A9" s="5"/>
      <c r="B9" s="6"/>
    </row>
    <row r="10" spans="1:2" ht="21.75" customHeight="1" x14ac:dyDescent="0.3">
      <c r="A10" s="5"/>
      <c r="B10" s="6" t="s">
        <v>13</v>
      </c>
    </row>
    <row r="11" spans="1:2" ht="21.75" customHeight="1" x14ac:dyDescent="0.3">
      <c r="A11" s="5"/>
      <c r="B11" s="6" t="s">
        <v>14</v>
      </c>
    </row>
  </sheetData>
  <mergeCells count="1">
    <mergeCell ref="A1:B1"/>
  </mergeCells>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7"/>
  <sheetViews>
    <sheetView tabSelected="1" zoomScaleNormal="100" workbookViewId="0">
      <pane ySplit="4" topLeftCell="A5" activePane="bottomLeft" state="frozen"/>
      <selection pane="bottomLeft" activeCell="F14" sqref="F14"/>
    </sheetView>
  </sheetViews>
  <sheetFormatPr baseColWidth="10" defaultColWidth="8.5546875" defaultRowHeight="14.4" x14ac:dyDescent="0.3"/>
  <cols>
    <col min="1" max="1" width="15" customWidth="1"/>
    <col min="2" max="2" width="62" customWidth="1"/>
    <col min="3" max="3" width="26" customWidth="1"/>
    <col min="4" max="4" width="9" customWidth="1"/>
    <col min="5" max="5" width="19" customWidth="1"/>
    <col min="6" max="6" width="22" customWidth="1"/>
    <col min="7" max="7" width="34" customWidth="1"/>
  </cols>
  <sheetData>
    <row r="1" spans="1:7" ht="30" customHeight="1" x14ac:dyDescent="0.35">
      <c r="A1" s="4" t="s">
        <v>15</v>
      </c>
      <c r="B1" s="4"/>
      <c r="C1" s="4"/>
      <c r="D1" s="4"/>
      <c r="E1" s="4"/>
      <c r="F1" s="4"/>
      <c r="G1" s="4"/>
    </row>
    <row r="2" spans="1:7" ht="30" customHeight="1" x14ac:dyDescent="0.3">
      <c r="A2" s="3" t="s">
        <v>16</v>
      </c>
      <c r="B2" s="3"/>
      <c r="C2" s="3"/>
      <c r="D2" s="3"/>
      <c r="E2" s="3"/>
      <c r="F2" s="3"/>
      <c r="G2" s="3"/>
    </row>
    <row r="4" spans="1:7" ht="25.5" customHeight="1" x14ac:dyDescent="0.3">
      <c r="A4" s="7" t="s">
        <v>17</v>
      </c>
      <c r="B4" s="7" t="s">
        <v>18</v>
      </c>
      <c r="C4" s="7" t="s">
        <v>19</v>
      </c>
      <c r="D4" s="7" t="s">
        <v>20</v>
      </c>
      <c r="E4" s="8" t="s">
        <v>21</v>
      </c>
      <c r="F4" s="8" t="s">
        <v>22</v>
      </c>
      <c r="G4" s="8" t="s">
        <v>23</v>
      </c>
    </row>
    <row r="5" spans="1:7" x14ac:dyDescent="0.3">
      <c r="A5" s="9" t="s">
        <v>24</v>
      </c>
      <c r="B5" s="10" t="s">
        <v>25</v>
      </c>
      <c r="C5" s="11" t="s">
        <v>26</v>
      </c>
      <c r="D5" s="12">
        <v>7</v>
      </c>
      <c r="E5" s="13" t="s">
        <v>149</v>
      </c>
      <c r="F5" s="13" t="s">
        <v>161</v>
      </c>
      <c r="G5" s="13"/>
    </row>
    <row r="6" spans="1:7" x14ac:dyDescent="0.3">
      <c r="A6" s="9" t="s">
        <v>24</v>
      </c>
      <c r="B6" s="10" t="s">
        <v>27</v>
      </c>
      <c r="C6" s="11" t="s">
        <v>26</v>
      </c>
      <c r="D6" s="12">
        <v>7</v>
      </c>
      <c r="E6" s="13" t="s">
        <v>149</v>
      </c>
      <c r="F6" s="13"/>
      <c r="G6" s="13" t="s">
        <v>188</v>
      </c>
    </row>
    <row r="7" spans="1:7" x14ac:dyDescent="0.3">
      <c r="A7" s="9" t="s">
        <v>24</v>
      </c>
      <c r="B7" s="10" t="s">
        <v>28</v>
      </c>
      <c r="C7" s="11" t="s">
        <v>26</v>
      </c>
      <c r="D7" s="12">
        <v>7</v>
      </c>
      <c r="E7" s="13" t="s">
        <v>149</v>
      </c>
      <c r="F7" s="13" t="s">
        <v>161</v>
      </c>
      <c r="G7" s="13"/>
    </row>
    <row r="8" spans="1:7" x14ac:dyDescent="0.3">
      <c r="A8" s="9" t="s">
        <v>24</v>
      </c>
      <c r="B8" s="10" t="s">
        <v>29</v>
      </c>
      <c r="C8" s="11" t="s">
        <v>26</v>
      </c>
      <c r="D8" s="12">
        <v>7</v>
      </c>
      <c r="E8" s="13" t="s">
        <v>149</v>
      </c>
      <c r="F8" s="13"/>
      <c r="G8" s="13" t="s">
        <v>189</v>
      </c>
    </row>
    <row r="9" spans="1:7" x14ac:dyDescent="0.3">
      <c r="A9" s="9" t="s">
        <v>24</v>
      </c>
      <c r="B9" s="10" t="s">
        <v>30</v>
      </c>
      <c r="C9" s="11" t="s">
        <v>26</v>
      </c>
      <c r="D9" s="12">
        <v>7</v>
      </c>
      <c r="E9" s="13" t="s">
        <v>155</v>
      </c>
      <c r="F9" s="13"/>
      <c r="G9" s="13" t="s">
        <v>190</v>
      </c>
    </row>
    <row r="10" spans="1:7" x14ac:dyDescent="0.3">
      <c r="A10" s="9" t="s">
        <v>24</v>
      </c>
      <c r="B10" s="10" t="s">
        <v>31</v>
      </c>
      <c r="C10" s="11" t="s">
        <v>26</v>
      </c>
      <c r="D10" s="12">
        <v>7</v>
      </c>
      <c r="E10" s="13" t="s">
        <v>152</v>
      </c>
      <c r="F10" s="13"/>
      <c r="G10" s="13" t="s">
        <v>191</v>
      </c>
    </row>
    <row r="11" spans="1:7" x14ac:dyDescent="0.3">
      <c r="A11" s="9" t="s">
        <v>24</v>
      </c>
      <c r="B11" s="10" t="s">
        <v>32</v>
      </c>
      <c r="C11" s="11" t="s">
        <v>26</v>
      </c>
      <c r="D11" s="12">
        <v>7</v>
      </c>
      <c r="E11" s="13" t="s">
        <v>149</v>
      </c>
      <c r="F11" s="13" t="s">
        <v>167</v>
      </c>
      <c r="G11" s="13"/>
    </row>
    <row r="12" spans="1:7" x14ac:dyDescent="0.3">
      <c r="A12" s="9" t="s">
        <v>24</v>
      </c>
      <c r="B12" s="10" t="s">
        <v>33</v>
      </c>
      <c r="C12" s="11" t="s">
        <v>26</v>
      </c>
      <c r="D12" s="12">
        <v>7</v>
      </c>
      <c r="E12" s="13" t="s">
        <v>149</v>
      </c>
      <c r="F12" s="13" t="s">
        <v>167</v>
      </c>
      <c r="G12" s="13"/>
    </row>
    <row r="13" spans="1:7" x14ac:dyDescent="0.3">
      <c r="A13" s="9" t="s">
        <v>24</v>
      </c>
      <c r="B13" s="10" t="s">
        <v>34</v>
      </c>
      <c r="C13" s="11" t="s">
        <v>26</v>
      </c>
      <c r="D13" s="12">
        <v>7</v>
      </c>
      <c r="E13" s="13" t="s">
        <v>149</v>
      </c>
      <c r="F13" s="13" t="s">
        <v>167</v>
      </c>
      <c r="G13" s="13"/>
    </row>
    <row r="14" spans="1:7" x14ac:dyDescent="0.3">
      <c r="A14" s="9" t="s">
        <v>24</v>
      </c>
      <c r="B14" s="10" t="s">
        <v>35</v>
      </c>
      <c r="C14" s="11" t="s">
        <v>26</v>
      </c>
      <c r="D14" s="12">
        <v>7</v>
      </c>
      <c r="E14" s="13" t="s">
        <v>149</v>
      </c>
      <c r="F14" s="13"/>
      <c r="G14" s="13"/>
    </row>
    <row r="15" spans="1:7" x14ac:dyDescent="0.3">
      <c r="A15" s="9" t="s">
        <v>24</v>
      </c>
      <c r="B15" s="10" t="s">
        <v>36</v>
      </c>
      <c r="C15" s="11" t="s">
        <v>26</v>
      </c>
      <c r="D15" s="12">
        <v>7</v>
      </c>
      <c r="E15" s="13" t="s">
        <v>149</v>
      </c>
      <c r="F15" s="13"/>
      <c r="G15" s="13"/>
    </row>
    <row r="16" spans="1:7" x14ac:dyDescent="0.3">
      <c r="A16" s="9" t="s">
        <v>24</v>
      </c>
      <c r="B16" s="10" t="s">
        <v>37</v>
      </c>
      <c r="C16" s="11" t="s">
        <v>26</v>
      </c>
      <c r="D16" s="12">
        <v>7</v>
      </c>
      <c r="E16" s="13" t="s">
        <v>149</v>
      </c>
      <c r="F16" s="13"/>
      <c r="G16" s="13"/>
    </row>
    <row r="17" spans="1:7" x14ac:dyDescent="0.3">
      <c r="A17" s="9" t="s">
        <v>24</v>
      </c>
      <c r="B17" s="10" t="s">
        <v>38</v>
      </c>
      <c r="C17" s="11" t="s">
        <v>39</v>
      </c>
      <c r="D17" s="12">
        <v>6</v>
      </c>
      <c r="E17" s="13" t="s">
        <v>149</v>
      </c>
      <c r="F17" s="13"/>
      <c r="G17" s="13"/>
    </row>
    <row r="18" spans="1:7" x14ac:dyDescent="0.3">
      <c r="A18" s="9" t="s">
        <v>24</v>
      </c>
      <c r="B18" s="10" t="s">
        <v>40</v>
      </c>
      <c r="C18" s="11" t="s">
        <v>39</v>
      </c>
      <c r="D18" s="12">
        <v>6</v>
      </c>
      <c r="E18" s="13" t="s">
        <v>149</v>
      </c>
      <c r="F18" s="13"/>
      <c r="G18" s="13"/>
    </row>
    <row r="19" spans="1:7" x14ac:dyDescent="0.3">
      <c r="A19" s="9" t="s">
        <v>24</v>
      </c>
      <c r="B19" s="10" t="s">
        <v>41</v>
      </c>
      <c r="C19" s="11" t="s">
        <v>42</v>
      </c>
      <c r="D19" s="12">
        <v>6</v>
      </c>
      <c r="E19" s="13" t="s">
        <v>149</v>
      </c>
      <c r="F19" s="13"/>
      <c r="G19" s="13"/>
    </row>
    <row r="20" spans="1:7" x14ac:dyDescent="0.3">
      <c r="A20" s="9" t="s">
        <v>24</v>
      </c>
      <c r="B20" s="10" t="s">
        <v>43</v>
      </c>
      <c r="C20" s="11" t="s">
        <v>44</v>
      </c>
      <c r="D20" s="12">
        <v>5</v>
      </c>
      <c r="E20" s="13" t="s">
        <v>149</v>
      </c>
      <c r="F20" s="13"/>
      <c r="G20" s="13"/>
    </row>
    <row r="21" spans="1:7" x14ac:dyDescent="0.3">
      <c r="A21" s="9" t="s">
        <v>24</v>
      </c>
      <c r="B21" s="10" t="s">
        <v>45</v>
      </c>
      <c r="C21" s="11" t="s">
        <v>44</v>
      </c>
      <c r="D21" s="12">
        <v>5</v>
      </c>
      <c r="E21" s="13" t="s">
        <v>149</v>
      </c>
      <c r="F21" s="13"/>
      <c r="G21" s="13"/>
    </row>
    <row r="22" spans="1:7" x14ac:dyDescent="0.3">
      <c r="A22" s="9" t="s">
        <v>24</v>
      </c>
      <c r="B22" s="10" t="s">
        <v>46</v>
      </c>
      <c r="C22" s="11" t="s">
        <v>47</v>
      </c>
      <c r="D22" s="12">
        <v>5</v>
      </c>
      <c r="E22" s="13" t="s">
        <v>149</v>
      </c>
      <c r="F22" s="13"/>
      <c r="G22" s="13"/>
    </row>
    <row r="23" spans="1:7" x14ac:dyDescent="0.3">
      <c r="A23" s="9" t="s">
        <v>24</v>
      </c>
      <c r="B23" s="10" t="s">
        <v>48</v>
      </c>
      <c r="C23" s="11" t="s">
        <v>49</v>
      </c>
      <c r="D23" s="12">
        <v>3</v>
      </c>
      <c r="E23" s="13" t="s">
        <v>149</v>
      </c>
      <c r="F23" s="13"/>
      <c r="G23" s="13"/>
    </row>
    <row r="24" spans="1:7" x14ac:dyDescent="0.3">
      <c r="A24" s="9" t="s">
        <v>24</v>
      </c>
      <c r="B24" s="10" t="s">
        <v>50</v>
      </c>
      <c r="C24" s="11" t="s">
        <v>51</v>
      </c>
      <c r="D24" s="12">
        <v>3</v>
      </c>
      <c r="E24" s="13" t="s">
        <v>149</v>
      </c>
      <c r="F24" s="13"/>
      <c r="G24" s="13"/>
    </row>
    <row r="25" spans="1:7" x14ac:dyDescent="0.3">
      <c r="A25" s="9" t="s">
        <v>24</v>
      </c>
      <c r="B25" s="10" t="s">
        <v>52</v>
      </c>
      <c r="C25" s="11" t="s">
        <v>53</v>
      </c>
      <c r="D25" s="12">
        <v>2</v>
      </c>
      <c r="E25" s="13" t="s">
        <v>149</v>
      </c>
      <c r="F25" s="13"/>
      <c r="G25" s="13"/>
    </row>
    <row r="26" spans="1:7" x14ac:dyDescent="0.3">
      <c r="A26" s="9" t="s">
        <v>24</v>
      </c>
      <c r="B26" s="10" t="s">
        <v>54</v>
      </c>
      <c r="C26" s="11" t="s">
        <v>53</v>
      </c>
      <c r="D26" s="12">
        <v>2</v>
      </c>
      <c r="E26" s="13" t="s">
        <v>152</v>
      </c>
      <c r="F26" s="13"/>
      <c r="G26" s="13"/>
    </row>
    <row r="27" spans="1:7" x14ac:dyDescent="0.3">
      <c r="A27" s="9" t="s">
        <v>24</v>
      </c>
      <c r="B27" s="10" t="s">
        <v>55</v>
      </c>
      <c r="C27" s="11" t="s">
        <v>56</v>
      </c>
      <c r="D27" s="12">
        <v>2</v>
      </c>
      <c r="E27" s="13" t="s">
        <v>152</v>
      </c>
      <c r="F27" s="13"/>
      <c r="G27" s="13"/>
    </row>
    <row r="28" spans="1:7" x14ac:dyDescent="0.3">
      <c r="A28" s="9" t="s">
        <v>24</v>
      </c>
      <c r="B28" s="10" t="s">
        <v>57</v>
      </c>
      <c r="C28" s="11" t="s">
        <v>53</v>
      </c>
      <c r="D28" s="12">
        <v>2</v>
      </c>
      <c r="E28" s="13" t="s">
        <v>152</v>
      </c>
      <c r="F28" s="13"/>
      <c r="G28" s="13"/>
    </row>
    <row r="29" spans="1:7" x14ac:dyDescent="0.3">
      <c r="A29" s="9" t="s">
        <v>24</v>
      </c>
      <c r="B29" s="10" t="s">
        <v>58</v>
      </c>
      <c r="C29" s="11" t="s">
        <v>59</v>
      </c>
      <c r="D29" s="12">
        <v>2</v>
      </c>
      <c r="E29" s="13" t="s">
        <v>152</v>
      </c>
      <c r="F29" s="13"/>
      <c r="G29" s="13"/>
    </row>
    <row r="30" spans="1:7" x14ac:dyDescent="0.3">
      <c r="A30" s="9" t="s">
        <v>24</v>
      </c>
      <c r="B30" s="10" t="s">
        <v>60</v>
      </c>
      <c r="C30" s="11" t="s">
        <v>61</v>
      </c>
      <c r="D30" s="12">
        <v>1</v>
      </c>
      <c r="E30" s="13" t="s">
        <v>149</v>
      </c>
      <c r="F30" s="13"/>
      <c r="G30" s="13"/>
    </row>
    <row r="31" spans="1:7" x14ac:dyDescent="0.3">
      <c r="A31" s="9" t="s">
        <v>24</v>
      </c>
      <c r="B31" s="10" t="s">
        <v>62</v>
      </c>
      <c r="C31" s="11" t="s">
        <v>61</v>
      </c>
      <c r="D31" s="12">
        <v>1</v>
      </c>
      <c r="E31" s="13" t="s">
        <v>152</v>
      </c>
      <c r="F31" s="13"/>
      <c r="G31" s="13"/>
    </row>
    <row r="32" spans="1:7" x14ac:dyDescent="0.3">
      <c r="A32" s="9" t="s">
        <v>24</v>
      </c>
      <c r="B32" s="10" t="s">
        <v>63</v>
      </c>
      <c r="C32" s="11" t="s">
        <v>61</v>
      </c>
      <c r="D32" s="12">
        <v>1</v>
      </c>
      <c r="E32" s="13" t="s">
        <v>152</v>
      </c>
      <c r="F32" s="13"/>
      <c r="G32" s="13"/>
    </row>
    <row r="33" spans="1:7" x14ac:dyDescent="0.3">
      <c r="A33" s="9" t="s">
        <v>24</v>
      </c>
      <c r="B33" s="10" t="s">
        <v>64</v>
      </c>
      <c r="C33" s="11" t="s">
        <v>65</v>
      </c>
      <c r="D33" s="12">
        <v>1</v>
      </c>
      <c r="E33" s="13" t="s">
        <v>152</v>
      </c>
      <c r="F33" s="13"/>
      <c r="G33" s="13"/>
    </row>
    <row r="34" spans="1:7" x14ac:dyDescent="0.3">
      <c r="A34" s="9" t="s">
        <v>24</v>
      </c>
      <c r="B34" s="10" t="s">
        <v>66</v>
      </c>
      <c r="C34" s="11" t="s">
        <v>67</v>
      </c>
      <c r="D34" s="12">
        <v>1</v>
      </c>
      <c r="E34" s="13" t="s">
        <v>152</v>
      </c>
      <c r="F34" s="13"/>
      <c r="G34" s="13"/>
    </row>
    <row r="35" spans="1:7" x14ac:dyDescent="0.3">
      <c r="A35" s="9" t="s">
        <v>24</v>
      </c>
      <c r="B35" s="10" t="s">
        <v>68</v>
      </c>
      <c r="C35" s="11" t="s">
        <v>67</v>
      </c>
      <c r="D35" s="12">
        <v>1</v>
      </c>
      <c r="E35" s="13" t="s">
        <v>152</v>
      </c>
      <c r="F35" s="13"/>
      <c r="G35" s="13"/>
    </row>
    <row r="36" spans="1:7" x14ac:dyDescent="0.3">
      <c r="A36" s="9" t="s">
        <v>24</v>
      </c>
      <c r="B36" s="10" t="s">
        <v>69</v>
      </c>
      <c r="C36" s="11" t="s">
        <v>67</v>
      </c>
      <c r="D36" s="12">
        <v>1</v>
      </c>
      <c r="E36" s="13" t="s">
        <v>152</v>
      </c>
      <c r="F36" s="13"/>
      <c r="G36" s="13"/>
    </row>
    <row r="37" spans="1:7" x14ac:dyDescent="0.3">
      <c r="A37" s="9" t="s">
        <v>24</v>
      </c>
      <c r="B37" s="10" t="s">
        <v>70</v>
      </c>
      <c r="C37" s="11" t="s">
        <v>67</v>
      </c>
      <c r="D37" s="12">
        <v>1</v>
      </c>
      <c r="E37" s="13" t="s">
        <v>152</v>
      </c>
      <c r="F37" s="13"/>
      <c r="G37" s="13"/>
    </row>
    <row r="38" spans="1:7" x14ac:dyDescent="0.3">
      <c r="A38" s="9" t="s">
        <v>24</v>
      </c>
      <c r="B38" s="10" t="s">
        <v>71</v>
      </c>
      <c r="C38" s="11" t="s">
        <v>72</v>
      </c>
      <c r="D38" s="12">
        <v>1</v>
      </c>
      <c r="E38" s="13" t="s">
        <v>149</v>
      </c>
      <c r="F38" s="13"/>
      <c r="G38" s="13"/>
    </row>
    <row r="39" spans="1:7" x14ac:dyDescent="0.3">
      <c r="A39" s="9" t="s">
        <v>24</v>
      </c>
      <c r="B39" s="10" t="s">
        <v>73</v>
      </c>
      <c r="C39" s="11" t="s">
        <v>65</v>
      </c>
      <c r="D39" s="12">
        <v>1</v>
      </c>
      <c r="E39" s="13" t="s">
        <v>152</v>
      </c>
      <c r="F39" s="13"/>
      <c r="G39" s="13"/>
    </row>
    <row r="40" spans="1:7" x14ac:dyDescent="0.3">
      <c r="A40" s="9" t="s">
        <v>24</v>
      </c>
      <c r="B40" s="10" t="s">
        <v>74</v>
      </c>
      <c r="C40" s="11" t="s">
        <v>75</v>
      </c>
      <c r="D40" s="12">
        <v>1</v>
      </c>
      <c r="E40" s="13" t="s">
        <v>152</v>
      </c>
      <c r="F40" s="13"/>
      <c r="G40" s="13"/>
    </row>
    <row r="41" spans="1:7" x14ac:dyDescent="0.3">
      <c r="A41" s="9" t="s">
        <v>24</v>
      </c>
      <c r="B41" s="10" t="s">
        <v>76</v>
      </c>
      <c r="C41" s="11" t="s">
        <v>67</v>
      </c>
      <c r="D41" s="12">
        <v>1</v>
      </c>
      <c r="E41" s="13" t="s">
        <v>152</v>
      </c>
      <c r="F41" s="13"/>
      <c r="G41" s="13"/>
    </row>
    <row r="42" spans="1:7" x14ac:dyDescent="0.3">
      <c r="A42" s="9" t="s">
        <v>24</v>
      </c>
      <c r="B42" s="10" t="s">
        <v>77</v>
      </c>
      <c r="C42" s="11" t="s">
        <v>65</v>
      </c>
      <c r="D42" s="12">
        <v>1</v>
      </c>
      <c r="E42" s="13" t="s">
        <v>152</v>
      </c>
      <c r="F42" s="13"/>
      <c r="G42" s="13"/>
    </row>
    <row r="43" spans="1:7" x14ac:dyDescent="0.3">
      <c r="A43" s="9" t="s">
        <v>24</v>
      </c>
      <c r="B43" s="10" t="s">
        <v>78</v>
      </c>
      <c r="C43" s="11" t="s">
        <v>67</v>
      </c>
      <c r="D43" s="12">
        <v>1</v>
      </c>
      <c r="E43" s="13" t="s">
        <v>152</v>
      </c>
      <c r="F43" s="13"/>
      <c r="G43" s="13"/>
    </row>
    <row r="44" spans="1:7" x14ac:dyDescent="0.3">
      <c r="A44" s="9" t="s">
        <v>24</v>
      </c>
      <c r="B44" s="10" t="s">
        <v>79</v>
      </c>
      <c r="C44" s="11" t="s">
        <v>67</v>
      </c>
      <c r="D44" s="12">
        <v>1</v>
      </c>
      <c r="E44" s="13" t="s">
        <v>152</v>
      </c>
      <c r="F44" s="13"/>
      <c r="G44" s="13"/>
    </row>
    <row r="45" spans="1:7" x14ac:dyDescent="0.3">
      <c r="A45" s="9" t="s">
        <v>24</v>
      </c>
      <c r="B45" s="10" t="s">
        <v>80</v>
      </c>
      <c r="C45" s="11" t="s">
        <v>81</v>
      </c>
      <c r="D45" s="12">
        <v>1</v>
      </c>
      <c r="E45" s="13" t="s">
        <v>149</v>
      </c>
      <c r="F45" s="13"/>
      <c r="G45" s="13"/>
    </row>
    <row r="46" spans="1:7" x14ac:dyDescent="0.3">
      <c r="A46" s="9" t="s">
        <v>24</v>
      </c>
      <c r="B46" s="10" t="s">
        <v>82</v>
      </c>
      <c r="C46" s="11" t="s">
        <v>67</v>
      </c>
      <c r="D46" s="12">
        <v>1</v>
      </c>
      <c r="E46" s="13" t="s">
        <v>149</v>
      </c>
      <c r="F46" s="13"/>
      <c r="G46" s="13"/>
    </row>
    <row r="47" spans="1:7" x14ac:dyDescent="0.3">
      <c r="A47" s="9" t="s">
        <v>24</v>
      </c>
      <c r="B47" s="10" t="s">
        <v>83</v>
      </c>
      <c r="C47" s="11" t="s">
        <v>81</v>
      </c>
      <c r="D47" s="12">
        <v>1</v>
      </c>
      <c r="E47" s="13" t="s">
        <v>152</v>
      </c>
      <c r="F47" s="13"/>
      <c r="G47" s="13"/>
    </row>
    <row r="48" spans="1:7" x14ac:dyDescent="0.3">
      <c r="A48" s="9" t="s">
        <v>24</v>
      </c>
      <c r="B48" s="10" t="s">
        <v>84</v>
      </c>
      <c r="C48" s="11" t="s">
        <v>81</v>
      </c>
      <c r="D48" s="12">
        <v>1</v>
      </c>
      <c r="E48" s="13" t="s">
        <v>152</v>
      </c>
      <c r="F48" s="13"/>
      <c r="G48" s="13"/>
    </row>
    <row r="49" spans="1:7" x14ac:dyDescent="0.3">
      <c r="A49" s="9" t="s">
        <v>24</v>
      </c>
      <c r="B49" s="10" t="s">
        <v>85</v>
      </c>
      <c r="C49" s="11" t="s">
        <v>65</v>
      </c>
      <c r="D49" s="12">
        <v>1</v>
      </c>
      <c r="E49" s="13" t="s">
        <v>152</v>
      </c>
      <c r="F49" s="13"/>
      <c r="G49" s="13"/>
    </row>
    <row r="50" spans="1:7" x14ac:dyDescent="0.3">
      <c r="A50" s="9" t="s">
        <v>24</v>
      </c>
      <c r="B50" s="10" t="s">
        <v>86</v>
      </c>
      <c r="C50" s="11" t="s">
        <v>67</v>
      </c>
      <c r="D50" s="12">
        <v>1</v>
      </c>
      <c r="E50" s="13" t="s">
        <v>152</v>
      </c>
      <c r="F50" s="13"/>
      <c r="G50" s="13"/>
    </row>
    <row r="51" spans="1:7" x14ac:dyDescent="0.3">
      <c r="A51" s="9" t="s">
        <v>24</v>
      </c>
      <c r="B51" s="10" t="s">
        <v>87</v>
      </c>
      <c r="C51" s="11" t="s">
        <v>67</v>
      </c>
      <c r="D51" s="12">
        <v>1</v>
      </c>
      <c r="E51" s="13" t="s">
        <v>152</v>
      </c>
      <c r="F51" s="13"/>
      <c r="G51" s="13"/>
    </row>
    <row r="52" spans="1:7" x14ac:dyDescent="0.3">
      <c r="A52" s="9" t="s">
        <v>24</v>
      </c>
      <c r="B52" s="10" t="s">
        <v>88</v>
      </c>
      <c r="C52" s="11" t="s">
        <v>65</v>
      </c>
      <c r="D52" s="12">
        <v>1</v>
      </c>
      <c r="E52" s="13" t="s">
        <v>152</v>
      </c>
      <c r="F52" s="13"/>
      <c r="G52" s="13"/>
    </row>
    <row r="53" spans="1:7" x14ac:dyDescent="0.3">
      <c r="A53" s="9" t="s">
        <v>24</v>
      </c>
      <c r="B53" s="10" t="s">
        <v>89</v>
      </c>
      <c r="C53" s="11" t="s">
        <v>81</v>
      </c>
      <c r="D53" s="12">
        <v>1</v>
      </c>
      <c r="E53" s="13" t="s">
        <v>155</v>
      </c>
      <c r="F53" s="13"/>
      <c r="G53" s="13"/>
    </row>
    <row r="54" spans="1:7" x14ac:dyDescent="0.3">
      <c r="A54" s="9" t="s">
        <v>24</v>
      </c>
      <c r="B54" s="10" t="s">
        <v>90</v>
      </c>
      <c r="C54" s="11" t="s">
        <v>67</v>
      </c>
      <c r="D54" s="12">
        <v>1</v>
      </c>
      <c r="E54" s="13" t="s">
        <v>152</v>
      </c>
      <c r="F54" s="13"/>
      <c r="G54" s="13"/>
    </row>
    <row r="55" spans="1:7" x14ac:dyDescent="0.3">
      <c r="A55" s="9" t="s">
        <v>24</v>
      </c>
      <c r="B55" s="10" t="s">
        <v>91</v>
      </c>
      <c r="C55" s="11" t="s">
        <v>81</v>
      </c>
      <c r="D55" s="12">
        <v>1</v>
      </c>
      <c r="E55" s="13" t="s">
        <v>152</v>
      </c>
      <c r="F55" s="13"/>
      <c r="G55" s="13"/>
    </row>
    <row r="56" spans="1:7" x14ac:dyDescent="0.3">
      <c r="A56" s="9" t="s">
        <v>24</v>
      </c>
      <c r="B56" s="10" t="s">
        <v>92</v>
      </c>
      <c r="C56" s="11" t="s">
        <v>75</v>
      </c>
      <c r="D56" s="12">
        <v>1</v>
      </c>
      <c r="E56" s="13" t="s">
        <v>152</v>
      </c>
      <c r="F56" s="13"/>
      <c r="G56" s="13"/>
    </row>
    <row r="57" spans="1:7" x14ac:dyDescent="0.3">
      <c r="A57" s="9" t="s">
        <v>24</v>
      </c>
      <c r="B57" s="10" t="s">
        <v>93</v>
      </c>
      <c r="C57" s="11" t="s">
        <v>72</v>
      </c>
      <c r="D57" s="12">
        <v>1</v>
      </c>
      <c r="E57" s="13" t="s">
        <v>149</v>
      </c>
      <c r="F57" s="13"/>
      <c r="G57" s="13"/>
    </row>
    <row r="58" spans="1:7" x14ac:dyDescent="0.3">
      <c r="A58" s="9" t="s">
        <v>24</v>
      </c>
      <c r="B58" s="10" t="s">
        <v>94</v>
      </c>
      <c r="C58" s="11" t="s">
        <v>61</v>
      </c>
      <c r="D58" s="12">
        <v>1</v>
      </c>
      <c r="E58" s="13" t="s">
        <v>152</v>
      </c>
      <c r="F58" s="13"/>
      <c r="G58" s="13"/>
    </row>
    <row r="59" spans="1:7" x14ac:dyDescent="0.3">
      <c r="A59" s="9" t="s">
        <v>24</v>
      </c>
      <c r="B59" s="10" t="s">
        <v>95</v>
      </c>
      <c r="C59" s="11" t="s">
        <v>67</v>
      </c>
      <c r="D59" s="12">
        <v>1</v>
      </c>
      <c r="E59" s="13" t="s">
        <v>149</v>
      </c>
      <c r="F59" s="13"/>
      <c r="G59" s="13"/>
    </row>
    <row r="60" spans="1:7" x14ac:dyDescent="0.3">
      <c r="A60" s="9" t="s">
        <v>24</v>
      </c>
      <c r="B60" s="10" t="s">
        <v>96</v>
      </c>
      <c r="C60" s="11" t="s">
        <v>65</v>
      </c>
      <c r="D60" s="12">
        <v>1</v>
      </c>
      <c r="E60" s="13" t="s">
        <v>152</v>
      </c>
      <c r="F60" s="13"/>
      <c r="G60" s="13"/>
    </row>
    <row r="61" spans="1:7" x14ac:dyDescent="0.3">
      <c r="A61" s="9" t="s">
        <v>97</v>
      </c>
      <c r="B61" s="10" t="s">
        <v>98</v>
      </c>
      <c r="C61" s="11" t="s">
        <v>26</v>
      </c>
      <c r="D61" s="12">
        <v>7</v>
      </c>
      <c r="E61" s="13" t="s">
        <v>149</v>
      </c>
      <c r="F61" s="13"/>
      <c r="G61" s="13"/>
    </row>
    <row r="62" spans="1:7" x14ac:dyDescent="0.3">
      <c r="A62" s="9" t="s">
        <v>97</v>
      </c>
      <c r="B62" s="10" t="s">
        <v>99</v>
      </c>
      <c r="C62" s="11" t="s">
        <v>39</v>
      </c>
      <c r="D62" s="12">
        <v>6</v>
      </c>
      <c r="E62" s="13" t="s">
        <v>149</v>
      </c>
      <c r="F62" s="13"/>
      <c r="G62" s="13"/>
    </row>
    <row r="63" spans="1:7" x14ac:dyDescent="0.3">
      <c r="A63" s="9" t="s">
        <v>97</v>
      </c>
      <c r="B63" s="10" t="s">
        <v>100</v>
      </c>
      <c r="C63" s="11" t="s">
        <v>39</v>
      </c>
      <c r="D63" s="12">
        <v>6</v>
      </c>
      <c r="E63" s="13" t="s">
        <v>149</v>
      </c>
      <c r="F63" s="13"/>
      <c r="G63" s="13"/>
    </row>
    <row r="64" spans="1:7" x14ac:dyDescent="0.3">
      <c r="A64" s="9" t="s">
        <v>97</v>
      </c>
      <c r="B64" s="10" t="s">
        <v>101</v>
      </c>
      <c r="C64" s="11" t="s">
        <v>102</v>
      </c>
      <c r="D64" s="12">
        <v>5</v>
      </c>
      <c r="E64" s="13" t="s">
        <v>149</v>
      </c>
      <c r="F64" s="13"/>
      <c r="G64" s="13"/>
    </row>
    <row r="65" spans="1:7" x14ac:dyDescent="0.3">
      <c r="A65" s="9" t="s">
        <v>97</v>
      </c>
      <c r="B65" s="10" t="s">
        <v>103</v>
      </c>
      <c r="C65" s="11" t="s">
        <v>102</v>
      </c>
      <c r="D65" s="12">
        <v>5</v>
      </c>
      <c r="E65" s="13" t="s">
        <v>149</v>
      </c>
      <c r="F65" s="13"/>
      <c r="G65" s="13"/>
    </row>
    <row r="66" spans="1:7" x14ac:dyDescent="0.3">
      <c r="A66" s="9" t="s">
        <v>97</v>
      </c>
      <c r="B66" s="10" t="s">
        <v>104</v>
      </c>
      <c r="C66" s="11" t="s">
        <v>102</v>
      </c>
      <c r="D66" s="12">
        <v>5</v>
      </c>
      <c r="E66" s="13" t="s">
        <v>149</v>
      </c>
      <c r="F66" s="13"/>
      <c r="G66" s="13"/>
    </row>
    <row r="67" spans="1:7" x14ac:dyDescent="0.3">
      <c r="A67" s="9" t="s">
        <v>97</v>
      </c>
      <c r="B67" s="10" t="s">
        <v>105</v>
      </c>
      <c r="C67" s="11" t="s">
        <v>106</v>
      </c>
      <c r="D67" s="12">
        <v>4</v>
      </c>
      <c r="E67" s="13" t="s">
        <v>149</v>
      </c>
      <c r="F67" s="13"/>
      <c r="G67" s="13"/>
    </row>
    <row r="68" spans="1:7" x14ac:dyDescent="0.3">
      <c r="A68" s="9" t="s">
        <v>97</v>
      </c>
      <c r="B68" s="10" t="s">
        <v>107</v>
      </c>
      <c r="C68" s="11" t="s">
        <v>106</v>
      </c>
      <c r="D68" s="12">
        <v>4</v>
      </c>
      <c r="E68" s="13" t="s">
        <v>149</v>
      </c>
      <c r="F68" s="13"/>
      <c r="G68" s="13"/>
    </row>
    <row r="69" spans="1:7" x14ac:dyDescent="0.3">
      <c r="A69" s="9" t="s">
        <v>97</v>
      </c>
      <c r="B69" s="10" t="s">
        <v>50</v>
      </c>
      <c r="C69" s="11" t="s">
        <v>108</v>
      </c>
      <c r="D69" s="12">
        <v>4</v>
      </c>
      <c r="E69" s="13" t="s">
        <v>149</v>
      </c>
      <c r="F69" s="13"/>
      <c r="G69" s="13"/>
    </row>
    <row r="70" spans="1:7" x14ac:dyDescent="0.3">
      <c r="A70" s="9" t="s">
        <v>97</v>
      </c>
      <c r="B70" s="10" t="s">
        <v>109</v>
      </c>
      <c r="C70" s="11" t="s">
        <v>110</v>
      </c>
      <c r="D70" s="12">
        <v>3</v>
      </c>
      <c r="E70" s="13" t="s">
        <v>152</v>
      </c>
      <c r="F70" s="13"/>
      <c r="G70" s="13"/>
    </row>
    <row r="71" spans="1:7" x14ac:dyDescent="0.3">
      <c r="A71" s="9" t="s">
        <v>97</v>
      </c>
      <c r="B71" s="10" t="s">
        <v>111</v>
      </c>
      <c r="C71" s="11" t="s">
        <v>49</v>
      </c>
      <c r="D71" s="12">
        <v>3</v>
      </c>
      <c r="E71" s="13" t="s">
        <v>149</v>
      </c>
      <c r="F71" s="13"/>
      <c r="G71" s="13"/>
    </row>
    <row r="72" spans="1:7" x14ac:dyDescent="0.3">
      <c r="A72" s="9" t="s">
        <v>97</v>
      </c>
      <c r="B72" s="10" t="s">
        <v>112</v>
      </c>
      <c r="C72" s="11" t="s">
        <v>51</v>
      </c>
      <c r="D72" s="12">
        <v>3</v>
      </c>
      <c r="E72" s="13" t="s">
        <v>155</v>
      </c>
      <c r="F72" s="13"/>
      <c r="G72" s="13"/>
    </row>
    <row r="73" spans="1:7" x14ac:dyDescent="0.3">
      <c r="A73" s="9" t="s">
        <v>97</v>
      </c>
      <c r="B73" s="10" t="s">
        <v>113</v>
      </c>
      <c r="C73" s="11" t="s">
        <v>114</v>
      </c>
      <c r="D73" s="12">
        <v>3</v>
      </c>
      <c r="E73" s="13" t="s">
        <v>152</v>
      </c>
      <c r="F73" s="13"/>
      <c r="G73" s="13"/>
    </row>
    <row r="74" spans="1:7" x14ac:dyDescent="0.3">
      <c r="A74" s="9" t="s">
        <v>97</v>
      </c>
      <c r="B74" s="10" t="s">
        <v>115</v>
      </c>
      <c r="C74" s="11" t="s">
        <v>116</v>
      </c>
      <c r="D74" s="12">
        <v>2</v>
      </c>
      <c r="E74" s="13" t="s">
        <v>149</v>
      </c>
      <c r="F74" s="13"/>
      <c r="G74" s="13"/>
    </row>
    <row r="75" spans="1:7" x14ac:dyDescent="0.3">
      <c r="A75" s="9" t="s">
        <v>97</v>
      </c>
      <c r="B75" s="10" t="s">
        <v>117</v>
      </c>
      <c r="C75" s="11" t="s">
        <v>116</v>
      </c>
      <c r="D75" s="12">
        <v>2</v>
      </c>
      <c r="E75" s="13" t="s">
        <v>152</v>
      </c>
      <c r="F75" s="13"/>
      <c r="G75" s="13"/>
    </row>
    <row r="76" spans="1:7" x14ac:dyDescent="0.3">
      <c r="A76" s="9" t="s">
        <v>97</v>
      </c>
      <c r="B76" s="10" t="s">
        <v>118</v>
      </c>
      <c r="C76" s="11" t="s">
        <v>116</v>
      </c>
      <c r="D76" s="12">
        <v>2</v>
      </c>
      <c r="E76" s="13" t="s">
        <v>149</v>
      </c>
      <c r="F76" s="13"/>
      <c r="G76" s="13"/>
    </row>
    <row r="77" spans="1:7" x14ac:dyDescent="0.3">
      <c r="A77" s="9" t="s">
        <v>97</v>
      </c>
      <c r="B77" s="10" t="s">
        <v>119</v>
      </c>
      <c r="C77" s="11" t="s">
        <v>120</v>
      </c>
      <c r="D77" s="12">
        <v>2</v>
      </c>
      <c r="E77" s="13" t="s">
        <v>149</v>
      </c>
      <c r="F77" s="13"/>
      <c r="G77" s="13"/>
    </row>
    <row r="78" spans="1:7" x14ac:dyDescent="0.3">
      <c r="A78" s="9" t="s">
        <v>97</v>
      </c>
      <c r="B78" s="10" t="s">
        <v>121</v>
      </c>
      <c r="C78" s="11" t="s">
        <v>116</v>
      </c>
      <c r="D78" s="12">
        <v>2</v>
      </c>
      <c r="E78" s="13" t="s">
        <v>152</v>
      </c>
      <c r="F78" s="13"/>
      <c r="G78" s="13"/>
    </row>
    <row r="79" spans="1:7" x14ac:dyDescent="0.3">
      <c r="A79" s="9" t="s">
        <v>97</v>
      </c>
      <c r="B79" s="10" t="s">
        <v>122</v>
      </c>
      <c r="C79" s="11" t="s">
        <v>123</v>
      </c>
      <c r="D79" s="12">
        <v>2</v>
      </c>
      <c r="E79" s="13" t="s">
        <v>152</v>
      </c>
      <c r="F79" s="13"/>
      <c r="G79" s="13"/>
    </row>
    <row r="80" spans="1:7" x14ac:dyDescent="0.3">
      <c r="A80" s="9" t="s">
        <v>97</v>
      </c>
      <c r="B80" s="10" t="s">
        <v>124</v>
      </c>
      <c r="C80" s="11" t="s">
        <v>125</v>
      </c>
      <c r="D80" s="12">
        <v>2</v>
      </c>
      <c r="E80" s="13" t="s">
        <v>152</v>
      </c>
      <c r="F80" s="13"/>
      <c r="G80" s="13"/>
    </row>
    <row r="81" spans="1:7" x14ac:dyDescent="0.3">
      <c r="A81" s="9" t="s">
        <v>97</v>
      </c>
      <c r="B81" s="10" t="s">
        <v>126</v>
      </c>
      <c r="C81" s="11" t="s">
        <v>67</v>
      </c>
      <c r="D81" s="12">
        <v>1</v>
      </c>
      <c r="E81" s="13" t="s">
        <v>152</v>
      </c>
      <c r="F81" s="13"/>
      <c r="G81" s="13"/>
    </row>
    <row r="82" spans="1:7" x14ac:dyDescent="0.3">
      <c r="A82" s="9" t="s">
        <v>97</v>
      </c>
      <c r="B82" s="10" t="s">
        <v>127</v>
      </c>
      <c r="C82" s="11" t="s">
        <v>75</v>
      </c>
      <c r="D82" s="12">
        <v>1</v>
      </c>
      <c r="E82" s="13" t="s">
        <v>152</v>
      </c>
      <c r="F82" s="13"/>
      <c r="G82" s="13"/>
    </row>
    <row r="83" spans="1:7" x14ac:dyDescent="0.3">
      <c r="A83" s="9" t="s">
        <v>97</v>
      </c>
      <c r="B83" s="10" t="s">
        <v>128</v>
      </c>
      <c r="C83" s="11" t="s">
        <v>65</v>
      </c>
      <c r="D83" s="12">
        <v>1</v>
      </c>
      <c r="E83" s="13" t="s">
        <v>149</v>
      </c>
      <c r="F83" s="13"/>
      <c r="G83" s="13"/>
    </row>
    <row r="84" spans="1:7" x14ac:dyDescent="0.3">
      <c r="A84" s="9" t="s">
        <v>97</v>
      </c>
      <c r="B84" s="10" t="s">
        <v>129</v>
      </c>
      <c r="C84" s="11" t="s">
        <v>130</v>
      </c>
      <c r="D84" s="12">
        <v>1</v>
      </c>
      <c r="E84" s="13" t="s">
        <v>149</v>
      </c>
      <c r="F84" s="13"/>
      <c r="G84" s="13"/>
    </row>
    <row r="85" spans="1:7" x14ac:dyDescent="0.3">
      <c r="A85" s="9" t="s">
        <v>97</v>
      </c>
      <c r="B85" s="10" t="s">
        <v>131</v>
      </c>
      <c r="C85" s="11" t="s">
        <v>61</v>
      </c>
      <c r="D85" s="12">
        <v>1</v>
      </c>
      <c r="E85" s="13" t="s">
        <v>149</v>
      </c>
      <c r="F85" s="13"/>
      <c r="G85" s="13"/>
    </row>
    <row r="86" spans="1:7" x14ac:dyDescent="0.3">
      <c r="A86" s="9" t="s">
        <v>97</v>
      </c>
      <c r="B86" s="10" t="s">
        <v>132</v>
      </c>
      <c r="C86" s="11" t="s">
        <v>130</v>
      </c>
      <c r="D86" s="12">
        <v>1</v>
      </c>
      <c r="E86" s="13" t="s">
        <v>152</v>
      </c>
      <c r="F86" s="13"/>
      <c r="G86" s="13"/>
    </row>
    <row r="87" spans="1:7" x14ac:dyDescent="0.3">
      <c r="A87" s="9" t="s">
        <v>97</v>
      </c>
      <c r="B87" s="10" t="s">
        <v>133</v>
      </c>
      <c r="C87" s="11" t="s">
        <v>65</v>
      </c>
      <c r="D87" s="12">
        <v>1</v>
      </c>
      <c r="E87" s="13" t="s">
        <v>152</v>
      </c>
      <c r="F87" s="13"/>
      <c r="G87" s="13"/>
    </row>
    <row r="88" spans="1:7" x14ac:dyDescent="0.3">
      <c r="A88" s="9" t="s">
        <v>97</v>
      </c>
      <c r="B88" s="10" t="s">
        <v>134</v>
      </c>
      <c r="C88" s="11" t="s">
        <v>61</v>
      </c>
      <c r="D88" s="12">
        <v>1</v>
      </c>
      <c r="E88" s="13"/>
      <c r="F88" s="13"/>
      <c r="G88" s="13" t="s">
        <v>187</v>
      </c>
    </row>
    <row r="89" spans="1:7" x14ac:dyDescent="0.3">
      <c r="A89" s="9" t="s">
        <v>97</v>
      </c>
      <c r="B89" s="10" t="s">
        <v>135</v>
      </c>
      <c r="C89" s="11" t="s">
        <v>67</v>
      </c>
      <c r="D89" s="12">
        <v>1</v>
      </c>
      <c r="E89" s="13"/>
      <c r="F89" s="13"/>
      <c r="G89" s="13" t="s">
        <v>187</v>
      </c>
    </row>
    <row r="90" spans="1:7" x14ac:dyDescent="0.3">
      <c r="A90" s="9" t="s">
        <v>97</v>
      </c>
      <c r="B90" s="10" t="s">
        <v>136</v>
      </c>
      <c r="C90" s="11" t="s">
        <v>67</v>
      </c>
      <c r="D90" s="12">
        <v>1</v>
      </c>
      <c r="E90" s="13" t="s">
        <v>152</v>
      </c>
      <c r="F90" s="13"/>
      <c r="G90" s="13"/>
    </row>
    <row r="91" spans="1:7" x14ac:dyDescent="0.3">
      <c r="A91" s="9" t="s">
        <v>97</v>
      </c>
      <c r="B91" s="10" t="s">
        <v>137</v>
      </c>
      <c r="C91" s="11" t="s">
        <v>67</v>
      </c>
      <c r="D91" s="12">
        <v>1</v>
      </c>
      <c r="E91" s="13" t="s">
        <v>152</v>
      </c>
      <c r="F91" s="13"/>
      <c r="G91" s="13"/>
    </row>
    <row r="92" spans="1:7" x14ac:dyDescent="0.3">
      <c r="A92" s="9" t="s">
        <v>97</v>
      </c>
      <c r="B92" s="10" t="s">
        <v>138</v>
      </c>
      <c r="C92" s="11" t="s">
        <v>75</v>
      </c>
      <c r="D92" s="12">
        <v>1</v>
      </c>
      <c r="E92" s="13" t="s">
        <v>152</v>
      </c>
      <c r="F92" s="13"/>
      <c r="G92" s="13"/>
    </row>
    <row r="93" spans="1:7" x14ac:dyDescent="0.3">
      <c r="A93" s="9" t="s">
        <v>97</v>
      </c>
      <c r="B93" s="10" t="s">
        <v>139</v>
      </c>
      <c r="C93" s="11" t="s">
        <v>72</v>
      </c>
      <c r="D93" s="12">
        <v>1</v>
      </c>
      <c r="E93" s="13" t="s">
        <v>152</v>
      </c>
      <c r="F93" s="13"/>
      <c r="G93" s="13"/>
    </row>
    <row r="94" spans="1:7" x14ac:dyDescent="0.3">
      <c r="A94" s="9" t="s">
        <v>97</v>
      </c>
      <c r="B94" s="10" t="s">
        <v>140</v>
      </c>
      <c r="C94" s="11" t="s">
        <v>61</v>
      </c>
      <c r="D94" s="12">
        <v>1</v>
      </c>
      <c r="E94" s="13" t="s">
        <v>152</v>
      </c>
      <c r="F94" s="13"/>
      <c r="G94" s="13"/>
    </row>
    <row r="95" spans="1:7" x14ac:dyDescent="0.3">
      <c r="A95" s="9" t="s">
        <v>97</v>
      </c>
      <c r="B95" s="10" t="s">
        <v>141</v>
      </c>
      <c r="C95" s="11" t="s">
        <v>81</v>
      </c>
      <c r="D95" s="12">
        <v>1</v>
      </c>
      <c r="E95" s="13" t="s">
        <v>152</v>
      </c>
      <c r="F95" s="13"/>
      <c r="G95" s="13"/>
    </row>
    <row r="96" spans="1:7" x14ac:dyDescent="0.3">
      <c r="A96" s="9" t="s">
        <v>97</v>
      </c>
      <c r="B96" s="10" t="s">
        <v>142</v>
      </c>
      <c r="C96" s="11" t="s">
        <v>143</v>
      </c>
      <c r="D96" s="12"/>
      <c r="E96" s="13" t="s">
        <v>149</v>
      </c>
      <c r="F96" s="13"/>
      <c r="G96" s="13"/>
    </row>
    <row r="97" spans="1:7" x14ac:dyDescent="0.3">
      <c r="A97" s="9" t="s">
        <v>97</v>
      </c>
      <c r="B97" s="10" t="s">
        <v>144</v>
      </c>
      <c r="C97" s="11" t="s">
        <v>143</v>
      </c>
      <c r="D97" s="12"/>
      <c r="E97" s="13" t="s">
        <v>149</v>
      </c>
      <c r="F97" s="13"/>
      <c r="G97" s="13"/>
    </row>
  </sheetData>
  <autoFilter ref="A4:G97" xr:uid="{00000000-0009-0000-0000-000001000000}"/>
  <mergeCells count="2">
    <mergeCell ref="A1:G1"/>
    <mergeCell ref="A2:G2"/>
  </mergeCells>
  <conditionalFormatting sqref="E5:E97">
    <cfRule type="cellIs" dxfId="2" priority="2" operator="equal">
      <formula>"Rutina"</formula>
    </cfRule>
    <cfRule type="cellIs" dxfId="1" priority="3" operator="equal">
      <formula>"Exclusiva del día"</formula>
    </cfRule>
    <cfRule type="cellIs" dxfId="0" priority="4" operator="equal">
      <formula>"Urgente"</formula>
    </cfRule>
  </conditionalFormatting>
  <pageMargins left="0.75" right="0.75" top="1" bottom="1"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2">
        <x14:dataValidation type="list" allowBlank="1" errorTitle="Tipo no válido" error="Elige: Rutina, Exclusiva del día o Urgente" xr:uid="{00000000-0002-0000-0100-000000000000}">
          <x14:formula1>
            <xm:f>Listas!$A$2:$A$4</xm:f>
          </x14:formula1>
          <x14:formula2>
            <xm:f>0</xm:f>
          </x14:formula2>
          <xm:sqref>E5:E97</xm:sqref>
        </x14:dataValidation>
        <x14:dataValidation type="list" allowBlank="1" xr:uid="{00000000-0002-0000-0100-000001000000}">
          <x14:formula1>
            <xm:f>Listas!$B$2:$B$22</xm:f>
          </x14:formula1>
          <x14:formula2>
            <xm:f>0</xm:f>
          </x14:formula2>
          <xm:sqref>F5:F97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zoomScaleNormal="100" workbookViewId="0"/>
  </sheetViews>
  <sheetFormatPr baseColWidth="10" defaultColWidth="8.5546875" defaultRowHeight="14.4" x14ac:dyDescent="0.3"/>
  <cols>
    <col min="1" max="1" width="20" customWidth="1"/>
    <col min="2" max="3" width="58" customWidth="1"/>
  </cols>
  <sheetData>
    <row r="1" spans="1:3" ht="30" customHeight="1" x14ac:dyDescent="0.35">
      <c r="A1" s="4" t="s">
        <v>145</v>
      </c>
      <c r="B1" s="4"/>
      <c r="C1" s="4"/>
    </row>
    <row r="3" spans="1:3" x14ac:dyDescent="0.3">
      <c r="A3" s="14" t="s">
        <v>146</v>
      </c>
      <c r="B3" s="14" t="s">
        <v>147</v>
      </c>
      <c r="C3" s="14" t="s">
        <v>148</v>
      </c>
    </row>
    <row r="4" spans="1:3" ht="45.75" customHeight="1" x14ac:dyDescent="0.3">
      <c r="A4" s="15" t="s">
        <v>149</v>
      </c>
      <c r="B4" s="16" t="s">
        <v>150</v>
      </c>
      <c r="C4" s="16" t="s">
        <v>151</v>
      </c>
    </row>
    <row r="5" spans="1:3" ht="45.75" customHeight="1" x14ac:dyDescent="0.3">
      <c r="A5" s="15" t="s">
        <v>152</v>
      </c>
      <c r="B5" s="16" t="s">
        <v>153</v>
      </c>
      <c r="C5" s="16" t="s">
        <v>154</v>
      </c>
    </row>
    <row r="6" spans="1:3" ht="45.75" customHeight="1" x14ac:dyDescent="0.3">
      <c r="A6" s="15" t="s">
        <v>155</v>
      </c>
      <c r="B6" s="16" t="s">
        <v>156</v>
      </c>
      <c r="C6" s="16" t="s">
        <v>157</v>
      </c>
    </row>
    <row r="8" spans="1:3" ht="45.75" customHeight="1" x14ac:dyDescent="0.3">
      <c r="A8" s="2" t="s">
        <v>158</v>
      </c>
      <c r="B8" s="2"/>
      <c r="C8" s="2"/>
    </row>
    <row r="10" spans="1:3" ht="30" customHeight="1" x14ac:dyDescent="0.3">
      <c r="A10" s="1" t="s">
        <v>159</v>
      </c>
      <c r="B10" s="1"/>
      <c r="C10" s="1"/>
    </row>
  </sheetData>
  <mergeCells count="3">
    <mergeCell ref="A1:C1"/>
    <mergeCell ref="A8:C8"/>
    <mergeCell ref="A10:C10"/>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zoomScaleNormal="100" workbookViewId="0"/>
  </sheetViews>
  <sheetFormatPr baseColWidth="10" defaultColWidth="8.5546875" defaultRowHeight="14.4" x14ac:dyDescent="0.3"/>
  <sheetData>
    <row r="1" spans="1:2" x14ac:dyDescent="0.3">
      <c r="A1" t="s">
        <v>146</v>
      </c>
      <c r="B1" t="s">
        <v>160</v>
      </c>
    </row>
    <row r="2" spans="1:2" x14ac:dyDescent="0.3">
      <c r="A2" t="s">
        <v>149</v>
      </c>
      <c r="B2" t="s">
        <v>161</v>
      </c>
    </row>
    <row r="3" spans="1:2" x14ac:dyDescent="0.3">
      <c r="A3" t="s">
        <v>152</v>
      </c>
      <c r="B3" t="s">
        <v>162</v>
      </c>
    </row>
    <row r="4" spans="1:2" x14ac:dyDescent="0.3">
      <c r="A4" t="s">
        <v>155</v>
      </c>
      <c r="B4" t="s">
        <v>163</v>
      </c>
    </row>
    <row r="5" spans="1:2" x14ac:dyDescent="0.3">
      <c r="B5" t="s">
        <v>164</v>
      </c>
    </row>
    <row r="6" spans="1:2" x14ac:dyDescent="0.3">
      <c r="B6" t="s">
        <v>165</v>
      </c>
    </row>
    <row r="7" spans="1:2" x14ac:dyDescent="0.3">
      <c r="B7" t="s">
        <v>166</v>
      </c>
    </row>
    <row r="8" spans="1:2" x14ac:dyDescent="0.3">
      <c r="B8" t="s">
        <v>167</v>
      </c>
    </row>
    <row r="9" spans="1:2" x14ac:dyDescent="0.3">
      <c r="B9" t="s">
        <v>168</v>
      </c>
    </row>
    <row r="10" spans="1:2" x14ac:dyDescent="0.3">
      <c r="B10" t="s">
        <v>169</v>
      </c>
    </row>
    <row r="11" spans="1:2" x14ac:dyDescent="0.3">
      <c r="B11" t="s">
        <v>170</v>
      </c>
    </row>
    <row r="12" spans="1:2" x14ac:dyDescent="0.3">
      <c r="B12" t="s">
        <v>171</v>
      </c>
    </row>
    <row r="13" spans="1:2" x14ac:dyDescent="0.3">
      <c r="B13" t="s">
        <v>172</v>
      </c>
    </row>
    <row r="14" spans="1:2" x14ac:dyDescent="0.3">
      <c r="B14" t="s">
        <v>173</v>
      </c>
    </row>
    <row r="15" spans="1:2" x14ac:dyDescent="0.3">
      <c r="B15" t="s">
        <v>174</v>
      </c>
    </row>
    <row r="16" spans="1:2" x14ac:dyDescent="0.3">
      <c r="B16" t="s">
        <v>175</v>
      </c>
    </row>
    <row r="17" spans="2:2" x14ac:dyDescent="0.3">
      <c r="B17" t="s">
        <v>176</v>
      </c>
    </row>
    <row r="18" spans="2:2" x14ac:dyDescent="0.3">
      <c r="B18" t="s">
        <v>177</v>
      </c>
    </row>
    <row r="19" spans="2:2" x14ac:dyDescent="0.3">
      <c r="B19" t="s">
        <v>178</v>
      </c>
    </row>
    <row r="20" spans="2:2" x14ac:dyDescent="0.3">
      <c r="B20" t="s">
        <v>179</v>
      </c>
    </row>
    <row r="21" spans="2:2" x14ac:dyDescent="0.3">
      <c r="B21" t="s">
        <v>180</v>
      </c>
    </row>
    <row r="22" spans="2:2" x14ac:dyDescent="0.3">
      <c r="B22" t="s">
        <v>181</v>
      </c>
    </row>
  </sheetData>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zoomScaleNormal="100" workbookViewId="0"/>
  </sheetViews>
  <sheetFormatPr baseColWidth="10" defaultColWidth="8.5546875" defaultRowHeight="14.4" x14ac:dyDescent="0.3"/>
  <cols>
    <col min="1" max="1" width="22" customWidth="1"/>
    <col min="2" max="2" width="15" customWidth="1"/>
    <col min="3" max="3" width="16" customWidth="1"/>
    <col min="4" max="4" width="10" customWidth="1"/>
  </cols>
  <sheetData>
    <row r="1" spans="1:4" ht="30" customHeight="1" x14ac:dyDescent="0.35">
      <c r="A1" s="4" t="s">
        <v>182</v>
      </c>
      <c r="B1" s="4"/>
      <c r="C1" s="4"/>
      <c r="D1" s="4"/>
    </row>
    <row r="3" spans="1:4" x14ac:dyDescent="0.3">
      <c r="A3" s="14" t="s">
        <v>146</v>
      </c>
      <c r="B3" s="14" t="s">
        <v>24</v>
      </c>
      <c r="C3" s="14" t="s">
        <v>97</v>
      </c>
      <c r="D3" s="14" t="s">
        <v>183</v>
      </c>
    </row>
    <row r="4" spans="1:4" x14ac:dyDescent="0.3">
      <c r="A4" s="15" t="s">
        <v>149</v>
      </c>
      <c r="B4" s="9">
        <f>COUNTIFS(Clasificar!$A$5:$A$97,"Operarias",Clasificar!$E$5:$E$97,$A4)</f>
        <v>25</v>
      </c>
      <c r="C4" s="9">
        <f>COUNTIFS(Clasificar!$A$5:$A$97,"Coordinadoras",Clasificar!$E$5:$E$97,$A4)</f>
        <v>18</v>
      </c>
      <c r="D4" s="9">
        <f>B4+C4</f>
        <v>43</v>
      </c>
    </row>
    <row r="5" spans="1:4" x14ac:dyDescent="0.3">
      <c r="A5" s="15" t="s">
        <v>152</v>
      </c>
      <c r="B5" s="9">
        <f>COUNTIFS(Clasificar!$A$5:$A$97,"Operarias",Clasificar!$E$5:$E$97,$A5)</f>
        <v>29</v>
      </c>
      <c r="C5" s="9">
        <f>COUNTIFS(Clasificar!$A$5:$A$97,"Coordinadoras",Clasificar!$E$5:$E$97,$A5)</f>
        <v>16</v>
      </c>
      <c r="D5" s="9">
        <f>B5+C5</f>
        <v>45</v>
      </c>
    </row>
    <row r="6" spans="1:4" x14ac:dyDescent="0.3">
      <c r="A6" s="15" t="s">
        <v>155</v>
      </c>
      <c r="B6" s="9">
        <f>COUNTIFS(Clasificar!$A$5:$A$97,"Operarias",Clasificar!$E$5:$E$97,$A6)</f>
        <v>2</v>
      </c>
      <c r="C6" s="9">
        <f>COUNTIFS(Clasificar!$A$5:$A$97,"Coordinadoras",Clasificar!$E$5:$E$97,$A6)</f>
        <v>1</v>
      </c>
      <c r="D6" s="9">
        <f>B6+C6</f>
        <v>3</v>
      </c>
    </row>
    <row r="7" spans="1:4" x14ac:dyDescent="0.3">
      <c r="A7" s="17" t="s">
        <v>184</v>
      </c>
      <c r="B7" s="9">
        <f>COUNTIFS(Clasificar!$A$5:$A$97,"Operarias",Clasificar!$E$5:$E$97,"")</f>
        <v>0</v>
      </c>
      <c r="C7" s="9">
        <f>COUNTIFS(Clasificar!$A$5:$A$97,"Coordinadoras",Clasificar!$E$5:$E$97,"")</f>
        <v>2</v>
      </c>
      <c r="D7" s="9">
        <f>B7+C7</f>
        <v>2</v>
      </c>
    </row>
    <row r="8" spans="1:4" x14ac:dyDescent="0.3">
      <c r="A8" s="18" t="s">
        <v>185</v>
      </c>
      <c r="B8" s="19">
        <f>COUNTIF(Clasificar!$A$5:$A$97,"Operarias")</f>
        <v>56</v>
      </c>
      <c r="C8" s="19">
        <f>COUNTIF(Clasificar!$A$5:$A$97,"Coordinadoras")</f>
        <v>37</v>
      </c>
      <c r="D8" s="19">
        <f>B8+C8</f>
        <v>93</v>
      </c>
    </row>
    <row r="10" spans="1:4" x14ac:dyDescent="0.3">
      <c r="A10" s="20" t="s">
        <v>186</v>
      </c>
    </row>
  </sheetData>
  <mergeCells count="1">
    <mergeCell ref="A1:D1"/>
  </mergeCell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Cómo se hace</vt:lpstr>
      <vt:lpstr>Clasificar</vt:lpstr>
      <vt:lpstr>Qué es cada cosa</vt:lpstr>
      <vt:lpstr>Listas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Usuario</cp:lastModifiedBy>
  <cp:revision>0</cp:revision>
  <dcterms:created xsi:type="dcterms:W3CDTF">2026-10-18T15:39:53Z</dcterms:created>
  <dcterms:modified xsi:type="dcterms:W3CDTF">2026-10-18T19:27:46Z</dcterms:modified>
  <dc:language>en-US</dc:language>
</cp:coreProperties>
</file>